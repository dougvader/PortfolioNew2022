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ightlife-my.sharepoint.com/personal/doug_nightlife_com_au/Documents/"/>
    </mc:Choice>
  </mc:AlternateContent>
  <xr:revisionPtr revIDLastSave="3261" documentId="8_{B5871EF0-0137-47A4-9A1D-515D90BF6629}" xr6:coauthVersionLast="40" xr6:coauthVersionMax="43" xr10:uidLastSave="{10F0720F-86A3-43B8-BE31-EBCD3B3A38CD}"/>
  <bookViews>
    <workbookView xWindow="28680" yWindow="-120" windowWidth="29040" windowHeight="15840" firstSheet="1" activeTab="3" xr2:uid="{CF679DDD-A558-4789-A7FE-6F62E4A65005}"/>
  </bookViews>
  <sheets>
    <sheet name="Prototype &amp; Data" sheetId="1" r:id="rId1"/>
    <sheet name="Variables" sheetId="2" r:id="rId2"/>
    <sheet name="DB" sheetId="3" r:id="rId3"/>
    <sheet name="Data Example" sheetId="4" r:id="rId4"/>
    <sheet name="Current Systems" sheetId="6" r:id="rId5"/>
    <sheet name="Prototype" sheetId="5" r:id="rId6"/>
    <sheet name="output_sheet" sheetId="14" r:id="rId7"/>
  </sheets>
  <definedNames>
    <definedName name="_xlnm._FilterDatabase" localSheetId="2" hidden="1">DB!$A$1:$S$1</definedName>
    <definedName name="myTable">'Current Systems'!$2:$10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5" l="1"/>
  <c r="N2" i="5" l="1"/>
  <c r="O2" i="5"/>
  <c r="P2" i="5"/>
  <c r="M2" i="5"/>
  <c r="B4" i="5" s="1"/>
  <c r="L2" i="5"/>
  <c r="D2" i="5"/>
  <c r="E2" i="5" s="1"/>
  <c r="F2" i="5" s="1"/>
  <c r="G2" i="5" l="1"/>
  <c r="H2" i="5" s="1"/>
  <c r="I2" i="5" s="1"/>
  <c r="J2" i="5" s="1"/>
  <c r="K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57BB39-A93D-48E1-8483-CF4635410491}" keepAlive="1" name="Query - current_builds" description="Connection to the 'current_builds' query in the workbook." type="5" refreshedVersion="6" background="1" saveData="1">
    <dbPr connection="Provider=Microsoft.Mashup.OleDb.1;Data Source=$Workbook$;Location=current_builds;Extended Properties=&quot;&quot;" command="SELECT * FROM [current_builds]"/>
  </connection>
</connections>
</file>

<file path=xl/sharedStrings.xml><?xml version="1.0" encoding="utf-8"?>
<sst xmlns="http://schemas.openxmlformats.org/spreadsheetml/2006/main" count="671" uniqueCount="135">
  <si>
    <t>Enter System Code:</t>
  </si>
  <si>
    <t>Replacing:</t>
  </si>
  <si>
    <t>Build Type</t>
  </si>
  <si>
    <t>Video Outputs</t>
  </si>
  <si>
    <t>Video Inputs</t>
  </si>
  <si>
    <t>WiFi Capable</t>
  </si>
  <si>
    <t>Headless?</t>
  </si>
  <si>
    <t>System Type</t>
  </si>
  <si>
    <t xml:space="preserve">Operating System </t>
  </si>
  <si>
    <t>Software</t>
  </si>
  <si>
    <t># Audio Zones</t>
  </si>
  <si>
    <t>NM3 or NM4</t>
  </si>
  <si>
    <t>Who Owns It?</t>
  </si>
  <si>
    <t>Input Field</t>
  </si>
  <si>
    <t xml:space="preserve">Data From Intranet </t>
  </si>
  <si>
    <t xml:space="preserve">Peripherals: </t>
  </si>
  <si>
    <t>EDID</t>
  </si>
  <si>
    <t>Output Field</t>
  </si>
  <si>
    <t>#</t>
  </si>
  <si>
    <t>DVI -&gt; HDMI</t>
  </si>
  <si>
    <t>Monitor Input Type</t>
  </si>
  <si>
    <t>HDMI -&gt; COMP</t>
  </si>
  <si>
    <t>Audio Via HDMI?</t>
  </si>
  <si>
    <t>Automation Functionality Example</t>
  </si>
  <si>
    <t xml:space="preserve">Variable Name </t>
  </si>
  <si>
    <t>build_type</t>
  </si>
  <si>
    <t>wifi_capable</t>
  </si>
  <si>
    <t>system_type</t>
  </si>
  <si>
    <t>operating_system</t>
  </si>
  <si>
    <t>num_audio_zones</t>
  </si>
  <si>
    <t>N/A</t>
  </si>
  <si>
    <t>num_video_outputs</t>
  </si>
  <si>
    <t>num_video_inputs</t>
  </si>
  <si>
    <t>Data From…</t>
  </si>
  <si>
    <r>
      <t>if (SA_Systems.contains(</t>
    </r>
    <r>
      <rPr>
        <sz val="11"/>
        <color rgb="FFFFC000"/>
        <rFont val="Calibri"/>
        <family val="2"/>
        <scheme val="minor"/>
      </rPr>
      <t>build_type</t>
    </r>
    <r>
      <rPr>
        <sz val="11"/>
        <color theme="0"/>
        <rFont val="Calibri"/>
        <family val="2"/>
        <scheme val="minor"/>
      </rPr>
      <t xml:space="preserve">)) {
</t>
    </r>
    <r>
      <rPr>
        <sz val="11"/>
        <color rgb="FF00B0F0"/>
        <rFont val="Calibri"/>
        <family val="2"/>
        <scheme val="minor"/>
      </rPr>
      <t>num_audio_zones</t>
    </r>
    <r>
      <rPr>
        <sz val="11"/>
        <color theme="0"/>
        <rFont val="Calibri"/>
        <family val="2"/>
        <scheme val="minor"/>
      </rPr>
      <t xml:space="preserve"> == 1; 
else { 
</t>
    </r>
    <r>
      <rPr>
        <sz val="11"/>
        <color rgb="FF00B0F0"/>
        <rFont val="Calibri"/>
        <family val="2"/>
        <scheme val="minor"/>
      </rPr>
      <t>num_audio_zones</t>
    </r>
    <r>
      <rPr>
        <sz val="11"/>
        <color theme="0"/>
        <rFont val="Calibri"/>
        <family val="2"/>
        <scheme val="minor"/>
      </rPr>
      <t xml:space="preserve"> == 2; </t>
    </r>
  </si>
  <si>
    <r>
      <t>if (SV_Systems.contains(</t>
    </r>
    <r>
      <rPr>
        <sz val="11"/>
        <color rgb="FFFFC000"/>
        <rFont val="Calibri"/>
        <family val="2"/>
        <scheme val="minor"/>
      </rPr>
      <t>build_type</t>
    </r>
    <r>
      <rPr>
        <sz val="11"/>
        <color theme="0"/>
        <rFont val="Calibri"/>
        <family val="2"/>
        <scheme val="minor"/>
      </rPr>
      <t xml:space="preserve">))) {
</t>
    </r>
    <r>
      <rPr>
        <sz val="11"/>
        <color rgb="FFFF0000"/>
        <rFont val="Calibri"/>
        <family val="2"/>
        <scheme val="minor"/>
      </rPr>
      <t>num_video_outputs</t>
    </r>
    <r>
      <rPr>
        <sz val="11"/>
        <color theme="0"/>
        <rFont val="Calibri"/>
        <family val="2"/>
        <scheme val="minor"/>
      </rPr>
      <t xml:space="preserve"> == 1; 
else { 
</t>
    </r>
    <r>
      <rPr>
        <sz val="11"/>
        <color rgb="FFFF0000"/>
        <rFont val="Calibri"/>
        <family val="2"/>
        <scheme val="minor"/>
      </rPr>
      <t>num_video_outputs</t>
    </r>
    <r>
      <rPr>
        <sz val="11"/>
        <color theme="0"/>
        <rFont val="Calibri"/>
        <family val="2"/>
        <scheme val="minor"/>
      </rPr>
      <t xml:space="preserve"> == 2; 
</t>
    </r>
  </si>
  <si>
    <r>
      <t>if (VI_Systems.contains(</t>
    </r>
    <r>
      <rPr>
        <sz val="11"/>
        <color rgb="FFFFC000"/>
        <rFont val="Calibri"/>
        <family val="2"/>
        <scheme val="minor"/>
      </rPr>
      <t>build_type</t>
    </r>
    <r>
      <rPr>
        <sz val="11"/>
        <color theme="0"/>
        <rFont val="Calibri"/>
        <family val="2"/>
        <scheme val="minor"/>
      </rPr>
      <t xml:space="preserve">)) {
*Show Widget Associated with </t>
    </r>
    <r>
      <rPr>
        <sz val="11"/>
        <color rgb="FF92D050"/>
        <rFont val="Calibri"/>
        <family val="2"/>
        <scheme val="minor"/>
      </rPr>
      <t>num_video_inputs</t>
    </r>
    <r>
      <rPr>
        <sz val="11"/>
        <color theme="0"/>
        <rFont val="Calibri"/>
        <family val="2"/>
        <scheme val="minor"/>
      </rPr>
      <t xml:space="preserve">*; </t>
    </r>
  </si>
  <si>
    <r>
      <t>if (Wifi_Systems.contains(</t>
    </r>
    <r>
      <rPr>
        <sz val="11"/>
        <color rgb="FFFFC000"/>
        <rFont val="Calibri"/>
        <family val="2"/>
        <scheme val="minor"/>
      </rPr>
      <t>build_type</t>
    </r>
    <r>
      <rPr>
        <sz val="11"/>
        <color theme="0"/>
        <rFont val="Calibri"/>
        <family val="2"/>
        <scheme val="minor"/>
      </rPr>
      <t xml:space="preserve">)) {
</t>
    </r>
    <r>
      <rPr>
        <sz val="11"/>
        <color rgb="FFFFFF00"/>
        <rFont val="Calibri"/>
        <family val="2"/>
        <scheme val="minor"/>
      </rPr>
      <t>wifi_capable</t>
    </r>
    <r>
      <rPr>
        <sz val="11"/>
        <color theme="0"/>
        <rFont val="Calibri"/>
        <family val="2"/>
        <scheme val="minor"/>
      </rPr>
      <t xml:space="preserve"> = yes; 
else {
</t>
    </r>
    <r>
      <rPr>
        <sz val="11"/>
        <color rgb="FFFFFF00"/>
        <rFont val="Calibri"/>
        <family val="2"/>
        <scheme val="minor"/>
      </rPr>
      <t>wifi_capable</t>
    </r>
    <r>
      <rPr>
        <sz val="11"/>
        <color theme="0"/>
        <rFont val="Calibri"/>
        <family val="2"/>
        <scheme val="minor"/>
      </rPr>
      <t xml:space="preserve"> = no; </t>
    </r>
  </si>
  <si>
    <t xml:space="preserve">How could we get this data? </t>
  </si>
  <si>
    <t>is_headless</t>
  </si>
  <si>
    <t>software_version</t>
  </si>
  <si>
    <t>media_type</t>
  </si>
  <si>
    <t>is_rental</t>
  </si>
  <si>
    <t>Variable Type</t>
  </si>
  <si>
    <t>string</t>
  </si>
  <si>
    <t>integer</t>
  </si>
  <si>
    <t>monitor_input_types</t>
  </si>
  <si>
    <t>audio_through_hdmi</t>
  </si>
  <si>
    <t>boolean</t>
  </si>
  <si>
    <t>Data</t>
  </si>
  <si>
    <t>SA_Systems</t>
  </si>
  <si>
    <t>ArrayList(str)</t>
  </si>
  <si>
    <t>SV_Systems</t>
  </si>
  <si>
    <t>VI_Systems</t>
  </si>
  <si>
    <t xml:space="preserve">Suggested System: </t>
  </si>
  <si>
    <t>Generate Warehouse todo</t>
  </si>
  <si>
    <t xml:space="preserve">build </t>
  </si>
  <si>
    <t>cvs_capable</t>
  </si>
  <si>
    <t>no</t>
  </si>
  <si>
    <t>video1_output_type</t>
  </si>
  <si>
    <t>video2_output_type</t>
  </si>
  <si>
    <t>B5</t>
  </si>
  <si>
    <t>RCA</t>
  </si>
  <si>
    <t>B6</t>
  </si>
  <si>
    <t>monitor_output_type</t>
  </si>
  <si>
    <t>VGA</t>
  </si>
  <si>
    <t>audio_1_output_type</t>
  </si>
  <si>
    <t>audio_2_output_type</t>
  </si>
  <si>
    <t>audio_3_output_type</t>
  </si>
  <si>
    <t>Tech Manual</t>
  </si>
  <si>
    <t>Intranet</t>
  </si>
  <si>
    <t>Manual Input</t>
  </si>
  <si>
    <t>B7</t>
  </si>
  <si>
    <t>B8</t>
  </si>
  <si>
    <t>B9</t>
  </si>
  <si>
    <t>B10</t>
  </si>
  <si>
    <t>B7D</t>
  </si>
  <si>
    <t>B11</t>
  </si>
  <si>
    <t>B12</t>
  </si>
  <si>
    <t>3.5mm</t>
  </si>
  <si>
    <t>B13</t>
  </si>
  <si>
    <t>B14</t>
  </si>
  <si>
    <t>B15</t>
  </si>
  <si>
    <t>B16</t>
  </si>
  <si>
    <t>Install</t>
  </si>
  <si>
    <t>yes</t>
  </si>
  <si>
    <t>HDMI</t>
  </si>
  <si>
    <t>DVI</t>
  </si>
  <si>
    <t>HDMI_comp</t>
  </si>
  <si>
    <t>DVI_comp</t>
  </si>
  <si>
    <t>B16O</t>
  </si>
  <si>
    <t>B17</t>
  </si>
  <si>
    <t>B18</t>
  </si>
  <si>
    <t>B19N</t>
  </si>
  <si>
    <t>B19A</t>
  </si>
  <si>
    <t>MDP</t>
  </si>
  <si>
    <t>Info From</t>
  </si>
  <si>
    <t>B20</t>
  </si>
  <si>
    <t>3.55mm</t>
  </si>
  <si>
    <t>B21</t>
  </si>
  <si>
    <t>B22</t>
  </si>
  <si>
    <t>B22B</t>
  </si>
  <si>
    <t>B22W</t>
  </si>
  <si>
    <t>B23</t>
  </si>
  <si>
    <t>B24</t>
  </si>
  <si>
    <t>B25</t>
  </si>
  <si>
    <t>B25W</t>
  </si>
  <si>
    <t>B26</t>
  </si>
  <si>
    <t>B26W</t>
  </si>
  <si>
    <t>System Code</t>
  </si>
  <si>
    <t>MOLL03A</t>
  </si>
  <si>
    <t>serial</t>
  </si>
  <si>
    <t>NMS1590</t>
  </si>
  <si>
    <t>HDMS</t>
  </si>
  <si>
    <t>W7</t>
  </si>
  <si>
    <t>audio_zones</t>
  </si>
  <si>
    <t>NM4</t>
  </si>
  <si>
    <t>build</t>
  </si>
  <si>
    <t>B16R</t>
  </si>
  <si>
    <t>Enter System Code -&gt;</t>
  </si>
  <si>
    <t>Replacement System Options</t>
  </si>
  <si>
    <t>audio_output</t>
  </si>
  <si>
    <t xml:space="preserve">Wifi Needed? </t>
  </si>
  <si>
    <t>wifi</t>
  </si>
  <si>
    <t>RCA_HDMI</t>
  </si>
  <si>
    <t>RCA_DVI</t>
  </si>
  <si>
    <t>video_output_type</t>
  </si>
  <si>
    <t>B27</t>
  </si>
  <si>
    <t>B27W</t>
  </si>
  <si>
    <t>ANYT24A</t>
  </si>
  <si>
    <t>NMS4665</t>
  </si>
  <si>
    <t>HDS</t>
  </si>
  <si>
    <t>W8</t>
  </si>
  <si>
    <t>num_audio_outputs</t>
  </si>
  <si>
    <t>moll03a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</si>
</sst>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0" fillId="2" borderId="0" xfId="0" applyFill="1"/>
    <xf numFmtId="0" fontId="4" fillId="3" borderId="0" xfId="0" applyFont="1" applyFill="1"/>
    <xf numFmtId="0" fontId="0" fillId="5" borderId="0" xfId="0" applyFont="1" applyFill="1"/>
    <xf numFmtId="0" fontId="2" fillId="0" borderId="2" xfId="0" applyFont="1" applyBorder="1"/>
    <xf numFmtId="0" fontId="2" fillId="5" borderId="2" xfId="0" applyFont="1" applyFill="1" applyBorder="1"/>
    <xf numFmtId="0" fontId="2" fillId="0" borderId="3" xfId="0" applyFont="1" applyBorder="1" applyAlignment="1">
      <alignment horizontal="center"/>
    </xf>
    <xf numFmtId="0" fontId="0" fillId="0" borderId="4" xfId="0" applyBorder="1"/>
    <xf numFmtId="0" fontId="5" fillId="4" borderId="5" xfId="0" applyFont="1" applyFill="1" applyBorder="1"/>
    <xf numFmtId="0" fontId="0" fillId="5" borderId="5" xfId="0" applyFont="1" applyFill="1" applyBorder="1"/>
    <xf numFmtId="0" fontId="0" fillId="3" borderId="5" xfId="0" applyFill="1" applyBorder="1"/>
    <xf numFmtId="0" fontId="0" fillId="0" borderId="6" xfId="0" applyBorder="1"/>
    <xf numFmtId="0" fontId="6" fillId="4" borderId="5" xfId="0" applyFont="1" applyFill="1" applyBorder="1"/>
    <xf numFmtId="0" fontId="3" fillId="4" borderId="6" xfId="0" applyFont="1" applyFill="1" applyBorder="1" applyAlignment="1">
      <alignment vertical="top" wrapText="1"/>
    </xf>
    <xf numFmtId="0" fontId="1" fillId="4" borderId="5" xfId="0" applyFont="1" applyFill="1" applyBorder="1"/>
    <xf numFmtId="0" fontId="7" fillId="4" borderId="5" xfId="0" applyFont="1" applyFill="1" applyBorder="1"/>
    <xf numFmtId="0" fontId="8" fillId="4" borderId="5" xfId="0" applyFont="1" applyFill="1" applyBorder="1"/>
    <xf numFmtId="0" fontId="3" fillId="4" borderId="6" xfId="0" applyFont="1" applyFill="1" applyBorder="1" applyAlignment="1">
      <alignment wrapText="1"/>
    </xf>
    <xf numFmtId="0" fontId="0" fillId="0" borderId="5" xfId="0" applyBorder="1"/>
    <xf numFmtId="0" fontId="4" fillId="5" borderId="6" xfId="0" applyFont="1" applyFill="1" applyBorder="1" applyAlignment="1">
      <alignment vertical="top" wrapText="1"/>
    </xf>
    <xf numFmtId="0" fontId="0" fillId="0" borderId="7" xfId="0" applyBorder="1"/>
    <xf numFmtId="0" fontId="0" fillId="0" borderId="8" xfId="0" applyBorder="1"/>
    <xf numFmtId="0" fontId="0" fillId="5" borderId="8" xfId="0" applyFont="1" applyFill="1" applyBorder="1"/>
    <xf numFmtId="0" fontId="0" fillId="6" borderId="8" xfId="0" applyFill="1" applyBorder="1"/>
    <xf numFmtId="0" fontId="4" fillId="5" borderId="9" xfId="0" applyFont="1" applyFill="1" applyBorder="1" applyAlignment="1">
      <alignment vertical="top" wrapText="1"/>
    </xf>
    <xf numFmtId="0" fontId="2" fillId="5" borderId="1" xfId="0" applyFont="1" applyFill="1" applyBorder="1"/>
    <xf numFmtId="0" fontId="0" fillId="0" borderId="2" xfId="0" applyBorder="1"/>
    <xf numFmtId="0" fontId="0" fillId="5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5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2" fillId="0" borderId="1" xfId="0" applyFont="1" applyBorder="1"/>
    <xf numFmtId="0" fontId="2" fillId="0" borderId="3" xfId="0" applyFont="1" applyBorder="1"/>
    <xf numFmtId="0" fontId="0" fillId="0" borderId="9" xfId="0" applyBorder="1"/>
    <xf numFmtId="0" fontId="0" fillId="7" borderId="5" xfId="0" applyFont="1" applyFill="1" applyBorder="1"/>
    <xf numFmtId="0" fontId="0" fillId="6" borderId="0" xfId="0" applyFill="1"/>
    <xf numFmtId="0" fontId="0" fillId="8" borderId="0" xfId="0" applyFill="1"/>
    <xf numFmtId="0" fontId="9" fillId="0" borderId="0" xfId="0" applyFont="1"/>
  </cellXfs>
  <cellStyles count="1">
    <cellStyle name="Normal" xfId="0" builtinId="0"/>
  </cellStyles>
  <dxfs count="2"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857250</xdr:colOff>
          <xdr:row>15</xdr:row>
          <xdr:rowOff>76200</xdr:rowOff>
        </xdr:from>
        <xdr:to>
          <xdr:col>1</xdr:col>
          <xdr:colOff>76200</xdr:colOff>
          <xdr:row>18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90A393-A96F-4832-BF64-42A8B57FB456}" name="myTable1" displayName="myTable1" ref="A1:L12" totalsRowShown="0" headerRowDxfId="1">
  <autoFilter ref="A1:L12" xr:uid="{3BB2A594-35DA-4FE1-B66D-A69A88143B53}"/>
  <tableColumns count="12">
    <tableColumn id="1" xr3:uid="{4FB8F9E2-B701-413A-BAE9-C5250A60BFBD}" name="build "/>
    <tableColumn id="2" xr3:uid="{E69850E3-43E1-48E3-BAAF-28A6C9BE98F7}" name="num_audio_zones"/>
    <tableColumn id="3" xr3:uid="{80524053-2757-4BE7-AF02-BA6CAB5297F4}" name="num_video_outputs"/>
    <tableColumn id="4" xr3:uid="{448AC149-0731-4831-BAA6-E594E69517C9}" name="num_video_inputs"/>
    <tableColumn id="5" xr3:uid="{8423C377-961D-41F9-9B6E-A46A03E5EA0A}" name="wifi_capable"/>
    <tableColumn id="6" xr3:uid="{23502CC0-9E28-4DE1-872D-B37EC96BC29E}" name="audio_1_output_type"/>
    <tableColumn id="7" xr3:uid="{3844599D-BBB1-45B4-AFD6-64F2B5F446F4}" name="audio_2_output_type"/>
    <tableColumn id="8" xr3:uid="{6378E25D-24A4-4E25-B9C1-D8CA94167E04}" name="audio_3_output_type"/>
    <tableColumn id="9" xr3:uid="{75A7F48A-68DB-4BBF-B647-6703F281A0F0}" name="monitor_output_type"/>
    <tableColumn id="10" xr3:uid="{65D13D1A-5F81-4D8F-88BC-6C2BF8BEE056}" name="video1_output_type"/>
    <tableColumn id="11" xr3:uid="{7C259055-27EB-4F5E-B28F-E419E8DE3AF4}" name="video2_output_type"/>
    <tableColumn id="12" xr3:uid="{F54F5E3E-FD81-4CF8-BD59-1A4D7D95AEE1}" name="cvs_capab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3D1A05-C692-41DD-8DC3-D2EF6B9468A9}" name="myTable14" displayName="myTable14" ref="B7:M18" totalsRowShown="0" headerRowDxfId="0">
  <autoFilter ref="B7:M18" xr:uid="{3DC858E6-FB00-4DF8-8FE2-8AF56407F7E8}"/>
  <tableColumns count="12">
    <tableColumn id="1" xr3:uid="{BE6168ED-E9F7-487C-9288-54731AB4D854}" name="build "/>
    <tableColumn id="2" xr3:uid="{E4DEF81C-ED78-49D8-8653-07D8DB3D9FDA}" name="num_audio_zones"/>
    <tableColumn id="3" xr3:uid="{3E8B19D1-2163-4A37-A912-9FFC34E2F931}" name="num_video_outputs"/>
    <tableColumn id="4" xr3:uid="{ED109599-501A-4FEC-9C76-6D5E67ABEF50}" name="num_video_inputs"/>
    <tableColumn id="5" xr3:uid="{A499B3E3-EAB9-4057-90AB-1B461C843DF9}" name="wifi_capable"/>
    <tableColumn id="6" xr3:uid="{38604ECE-B71D-48D9-AE60-6C8E91F4C05A}" name="audio_1_output_type"/>
    <tableColumn id="7" xr3:uid="{AED62410-6E81-47DB-935C-B9BB95BE1A53}" name="audio_2_output_type"/>
    <tableColumn id="8" xr3:uid="{712AF876-4DC0-4BE3-ABBA-49986E726C72}" name="audio_3_output_type"/>
    <tableColumn id="9" xr3:uid="{7029D9DE-5237-4A57-A293-7EDC5AC3FE18}" name="monitor_output_type"/>
    <tableColumn id="10" xr3:uid="{AA7C175C-824F-40CA-9C71-3620174B7860}" name="video1_output_type"/>
    <tableColumn id="11" xr3:uid="{9042EA10-68C0-490F-8C5D-C9113988D73A}" name="video2_output_type"/>
    <tableColumn id="12" xr3:uid="{241BFDED-6B56-43A5-ACD7-CF10578C1B2C}" name="cvs_cap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19335-A66E-4D88-8E89-4D178495ED2B}">
  <sheetPr codeName="Sheet1"/>
  <dimension ref="A2:G28"/>
  <sheetViews>
    <sheetView workbookViewId="0">
      <selection activeCell="B2" sqref="B2"/>
    </sheetView>
  </sheetViews>
  <sheetFormatPr defaultRowHeight="15" x14ac:dyDescent="0.25"/>
  <cols>
    <col min="1" max="1" width="16.85546875" bestFit="1" customWidth="1"/>
    <col min="2" max="2" width="18.28515625" bestFit="1" customWidth="1"/>
    <col min="3" max="3" width="16.7109375" style="4" bestFit="1" customWidth="1"/>
    <col min="4" max="4" width="24.7109375" bestFit="1" customWidth="1"/>
    <col min="5" max="5" width="43.7109375" bestFit="1" customWidth="1"/>
    <col min="7" max="7" width="23" bestFit="1" customWidth="1"/>
  </cols>
  <sheetData>
    <row r="2" spans="1:7" x14ac:dyDescent="0.25">
      <c r="A2" s="1" t="s">
        <v>0</v>
      </c>
      <c r="B2" s="2"/>
      <c r="D2" s="1" t="s">
        <v>54</v>
      </c>
      <c r="G2" s="37" t="s">
        <v>55</v>
      </c>
    </row>
    <row r="4" spans="1:7" x14ac:dyDescent="0.25">
      <c r="A4" s="34" t="s">
        <v>43</v>
      </c>
      <c r="B4" s="5" t="s">
        <v>24</v>
      </c>
      <c r="C4" s="6" t="s">
        <v>1</v>
      </c>
      <c r="D4" s="5" t="s">
        <v>33</v>
      </c>
      <c r="E4" s="7" t="s">
        <v>23</v>
      </c>
    </row>
    <row r="5" spans="1:7" x14ac:dyDescent="0.25">
      <c r="A5" s="8" t="s">
        <v>44</v>
      </c>
      <c r="B5" s="9" t="s">
        <v>25</v>
      </c>
      <c r="C5" s="10" t="s">
        <v>2</v>
      </c>
      <c r="D5" s="11" t="s">
        <v>14</v>
      </c>
      <c r="E5" s="12" t="s">
        <v>30</v>
      </c>
    </row>
    <row r="6" spans="1:7" ht="60" x14ac:dyDescent="0.25">
      <c r="A6" s="8" t="s">
        <v>45</v>
      </c>
      <c r="B6" s="13" t="s">
        <v>29</v>
      </c>
      <c r="C6" s="10" t="s">
        <v>10</v>
      </c>
      <c r="D6" s="11" t="s">
        <v>14</v>
      </c>
      <c r="E6" s="14" t="s">
        <v>34</v>
      </c>
    </row>
    <row r="7" spans="1:7" ht="68.45" customHeight="1" x14ac:dyDescent="0.25">
      <c r="A7" s="8" t="s">
        <v>45</v>
      </c>
      <c r="B7" s="15" t="s">
        <v>31</v>
      </c>
      <c r="C7" s="10" t="s">
        <v>3</v>
      </c>
      <c r="D7" s="11" t="s">
        <v>14</v>
      </c>
      <c r="E7" s="14" t="s">
        <v>35</v>
      </c>
    </row>
    <row r="8" spans="1:7" ht="45" x14ac:dyDescent="0.25">
      <c r="A8" s="8" t="s">
        <v>45</v>
      </c>
      <c r="B8" s="16" t="s">
        <v>32</v>
      </c>
      <c r="C8" s="10" t="s">
        <v>4</v>
      </c>
      <c r="D8" s="11" t="s">
        <v>14</v>
      </c>
      <c r="E8" s="14" t="s">
        <v>36</v>
      </c>
    </row>
    <row r="9" spans="1:7" ht="60" x14ac:dyDescent="0.25">
      <c r="A9" s="8" t="s">
        <v>48</v>
      </c>
      <c r="B9" s="17" t="s">
        <v>26</v>
      </c>
      <c r="C9" s="10" t="s">
        <v>5</v>
      </c>
      <c r="D9" s="11" t="s">
        <v>14</v>
      </c>
      <c r="E9" s="18" t="s">
        <v>37</v>
      </c>
    </row>
    <row r="10" spans="1:7" x14ac:dyDescent="0.25">
      <c r="A10" s="8" t="s">
        <v>48</v>
      </c>
      <c r="B10" s="19" t="s">
        <v>39</v>
      </c>
      <c r="C10" s="10" t="s">
        <v>6</v>
      </c>
      <c r="D10" s="11" t="s">
        <v>14</v>
      </c>
      <c r="E10" s="20" t="s">
        <v>30</v>
      </c>
    </row>
    <row r="11" spans="1:7" x14ac:dyDescent="0.25">
      <c r="A11" s="8" t="s">
        <v>44</v>
      </c>
      <c r="B11" s="19" t="s">
        <v>27</v>
      </c>
      <c r="C11" s="10" t="s">
        <v>7</v>
      </c>
      <c r="D11" s="11" t="s">
        <v>14</v>
      </c>
      <c r="E11" s="20" t="s">
        <v>30</v>
      </c>
    </row>
    <row r="12" spans="1:7" x14ac:dyDescent="0.25">
      <c r="A12" s="8" t="s">
        <v>44</v>
      </c>
      <c r="B12" s="19" t="s">
        <v>28</v>
      </c>
      <c r="C12" s="10" t="s">
        <v>8</v>
      </c>
      <c r="D12" s="11" t="s">
        <v>14</v>
      </c>
      <c r="E12" s="20" t="s">
        <v>30</v>
      </c>
    </row>
    <row r="13" spans="1:7" x14ac:dyDescent="0.25">
      <c r="A13" s="8" t="s">
        <v>44</v>
      </c>
      <c r="B13" s="19" t="s">
        <v>40</v>
      </c>
      <c r="C13" s="10" t="s">
        <v>9</v>
      </c>
      <c r="D13" s="11" t="s">
        <v>14</v>
      </c>
      <c r="E13" s="20" t="s">
        <v>30</v>
      </c>
    </row>
    <row r="14" spans="1:7" x14ac:dyDescent="0.25">
      <c r="A14" s="8" t="s">
        <v>44</v>
      </c>
      <c r="B14" s="19" t="s">
        <v>41</v>
      </c>
      <c r="C14" s="10" t="s">
        <v>11</v>
      </c>
      <c r="D14" s="11" t="s">
        <v>14</v>
      </c>
      <c r="E14" s="20" t="s">
        <v>30</v>
      </c>
    </row>
    <row r="15" spans="1:7" x14ac:dyDescent="0.25">
      <c r="A15" s="8" t="s">
        <v>48</v>
      </c>
      <c r="B15" s="19" t="s">
        <v>42</v>
      </c>
      <c r="C15" s="10" t="s">
        <v>12</v>
      </c>
      <c r="D15" s="11" t="s">
        <v>14</v>
      </c>
      <c r="E15" s="20" t="s">
        <v>30</v>
      </c>
    </row>
    <row r="16" spans="1:7" x14ac:dyDescent="0.25">
      <c r="A16" s="8" t="s">
        <v>44</v>
      </c>
      <c r="B16" s="19" t="s">
        <v>46</v>
      </c>
      <c r="C16" s="10" t="s">
        <v>20</v>
      </c>
      <c r="D16" s="11" t="s">
        <v>14</v>
      </c>
      <c r="E16" s="20" t="s">
        <v>30</v>
      </c>
    </row>
    <row r="17" spans="1:5" x14ac:dyDescent="0.25">
      <c r="A17" s="21" t="s">
        <v>48</v>
      </c>
      <c r="B17" s="22" t="s">
        <v>47</v>
      </c>
      <c r="C17" s="23" t="s">
        <v>22</v>
      </c>
      <c r="D17" s="24" t="s">
        <v>38</v>
      </c>
      <c r="E17" s="25" t="s">
        <v>30</v>
      </c>
    </row>
    <row r="19" spans="1:5" x14ac:dyDescent="0.25">
      <c r="C19" s="26" t="s">
        <v>15</v>
      </c>
      <c r="D19" s="27"/>
      <c r="E19" s="7" t="s">
        <v>18</v>
      </c>
    </row>
    <row r="20" spans="1:5" x14ac:dyDescent="0.25">
      <c r="C20" s="28" t="s">
        <v>16</v>
      </c>
      <c r="D20" s="29"/>
      <c r="E20" s="30"/>
    </row>
    <row r="21" spans="1:5" x14ac:dyDescent="0.25">
      <c r="C21" s="28" t="s">
        <v>21</v>
      </c>
      <c r="D21" s="29"/>
      <c r="E21" s="30"/>
    </row>
    <row r="22" spans="1:5" x14ac:dyDescent="0.25">
      <c r="C22" s="31" t="s">
        <v>19</v>
      </c>
      <c r="D22" s="32"/>
      <c r="E22" s="33"/>
    </row>
    <row r="27" spans="1:5" x14ac:dyDescent="0.25">
      <c r="A27" s="2" t="s">
        <v>13</v>
      </c>
    </row>
    <row r="28" spans="1:5" x14ac:dyDescent="0.25">
      <c r="A28" s="3" t="s">
        <v>17</v>
      </c>
    </row>
  </sheetData>
  <pageMargins left="0.7" right="0.7" top="0.75" bottom="0.75" header="0.3" footer="0.3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9581-F74E-46D5-AD12-0C98D9242914}">
  <sheetPr codeName="Sheet2"/>
  <dimension ref="A1:C4"/>
  <sheetViews>
    <sheetView workbookViewId="0">
      <selection activeCell="B30" sqref="B30"/>
    </sheetView>
  </sheetViews>
  <sheetFormatPr defaultRowHeight="15" x14ac:dyDescent="0.25"/>
  <cols>
    <col min="1" max="1" width="13.85546875" bestFit="1" customWidth="1"/>
    <col min="2" max="2" width="12.42578125" bestFit="1" customWidth="1"/>
    <col min="3" max="3" width="4.85546875" bestFit="1" customWidth="1"/>
  </cols>
  <sheetData>
    <row r="1" spans="1:3" x14ac:dyDescent="0.25">
      <c r="A1" s="34" t="s">
        <v>24</v>
      </c>
      <c r="B1" s="5" t="s">
        <v>43</v>
      </c>
      <c r="C1" s="35" t="s">
        <v>49</v>
      </c>
    </row>
    <row r="2" spans="1:3" x14ac:dyDescent="0.25">
      <c r="A2" s="8" t="s">
        <v>50</v>
      </c>
      <c r="B2" s="19" t="s">
        <v>51</v>
      </c>
      <c r="C2" s="12"/>
    </row>
    <row r="3" spans="1:3" x14ac:dyDescent="0.25">
      <c r="A3" s="8" t="s">
        <v>52</v>
      </c>
      <c r="B3" s="19" t="s">
        <v>51</v>
      </c>
      <c r="C3" s="12"/>
    </row>
    <row r="4" spans="1:3" x14ac:dyDescent="0.25">
      <c r="A4" s="21" t="s">
        <v>53</v>
      </c>
      <c r="B4" s="22" t="s">
        <v>51</v>
      </c>
      <c r="C4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2D9E2-72E5-4F89-A938-41E6A4C45438}">
  <sheetPr codeName="Sheet3"/>
  <dimension ref="A1:S37"/>
  <sheetViews>
    <sheetView workbookViewId="0">
      <pane ySplit="1" topLeftCell="A20" activePane="bottomLeft" state="frozen"/>
      <selection pane="bottomLeft" activeCell="E35" sqref="E35"/>
    </sheetView>
  </sheetViews>
  <sheetFormatPr defaultRowHeight="15" x14ac:dyDescent="0.25"/>
  <cols>
    <col min="1" max="1" width="5.85546875" bestFit="1" customWidth="1"/>
    <col min="2" max="2" width="15.85546875" bestFit="1" customWidth="1"/>
    <col min="3" max="3" width="17.42578125" bestFit="1" customWidth="1"/>
    <col min="4" max="4" width="16" bestFit="1" customWidth="1"/>
    <col min="5" max="5" width="11.28515625" bestFit="1" customWidth="1"/>
    <col min="6" max="9" width="18.7109375" bestFit="1" customWidth="1"/>
    <col min="10" max="10" width="17.7109375" bestFit="1" customWidth="1"/>
    <col min="11" max="12" width="17.7109375" customWidth="1"/>
    <col min="13" max="13" width="10.28515625" bestFit="1" customWidth="1"/>
    <col min="14" max="14" width="11.28515625" bestFit="1" customWidth="1"/>
    <col min="15" max="15" width="15.5703125" bestFit="1" customWidth="1"/>
    <col min="16" max="16" width="15.28515625" bestFit="1" customWidth="1"/>
    <col min="17" max="17" width="10.5703125" bestFit="1" customWidth="1"/>
    <col min="19" max="19" width="18.140625" bestFit="1" customWidth="1"/>
    <col min="20" max="20" width="13.7109375" bestFit="1" customWidth="1"/>
  </cols>
  <sheetData>
    <row r="1" spans="1:19" x14ac:dyDescent="0.25">
      <c r="A1" s="2" t="s">
        <v>56</v>
      </c>
      <c r="B1" s="2" t="s">
        <v>29</v>
      </c>
      <c r="C1" s="2" t="s">
        <v>31</v>
      </c>
      <c r="D1" s="2" t="s">
        <v>32</v>
      </c>
      <c r="E1" s="2" t="s">
        <v>26</v>
      </c>
      <c r="F1" s="2" t="s">
        <v>66</v>
      </c>
      <c r="G1" s="2" t="s">
        <v>67</v>
      </c>
      <c r="H1" s="2" t="s">
        <v>68</v>
      </c>
      <c r="I1" s="2" t="s">
        <v>64</v>
      </c>
      <c r="J1" s="2" t="s">
        <v>59</v>
      </c>
      <c r="K1" s="2" t="s">
        <v>60</v>
      </c>
      <c r="L1" s="2" t="s">
        <v>57</v>
      </c>
      <c r="M1" s="38" t="s">
        <v>39</v>
      </c>
      <c r="N1" s="38" t="s">
        <v>27</v>
      </c>
      <c r="O1" s="38" t="s">
        <v>28</v>
      </c>
      <c r="P1" s="38" t="s">
        <v>40</v>
      </c>
      <c r="Q1" s="38" t="s">
        <v>41</v>
      </c>
      <c r="R1" s="38" t="s">
        <v>42</v>
      </c>
      <c r="S1" s="39" t="s">
        <v>47</v>
      </c>
    </row>
    <row r="2" spans="1:19" x14ac:dyDescent="0.25">
      <c r="A2" t="s">
        <v>61</v>
      </c>
      <c r="B2">
        <v>2</v>
      </c>
      <c r="C2">
        <v>2</v>
      </c>
      <c r="D2" t="s">
        <v>30</v>
      </c>
      <c r="E2" t="s">
        <v>84</v>
      </c>
      <c r="F2" t="s">
        <v>62</v>
      </c>
      <c r="G2" t="s">
        <v>62</v>
      </c>
      <c r="H2" t="s">
        <v>30</v>
      </c>
      <c r="I2" t="s">
        <v>65</v>
      </c>
      <c r="J2" t="s">
        <v>62</v>
      </c>
      <c r="K2" t="s">
        <v>62</v>
      </c>
      <c r="L2" t="b">
        <v>0</v>
      </c>
      <c r="S2" t="s">
        <v>30</v>
      </c>
    </row>
    <row r="3" spans="1:19" x14ac:dyDescent="0.25">
      <c r="A3" t="s">
        <v>63</v>
      </c>
      <c r="B3">
        <v>2</v>
      </c>
      <c r="C3">
        <v>2</v>
      </c>
      <c r="D3" t="s">
        <v>30</v>
      </c>
      <c r="E3" t="s">
        <v>84</v>
      </c>
      <c r="F3" t="s">
        <v>62</v>
      </c>
      <c r="G3" t="s">
        <v>62</v>
      </c>
      <c r="H3" t="s">
        <v>30</v>
      </c>
      <c r="I3" t="s">
        <v>65</v>
      </c>
      <c r="J3" t="s">
        <v>62</v>
      </c>
      <c r="K3" t="s">
        <v>62</v>
      </c>
      <c r="L3" t="b">
        <v>0</v>
      </c>
      <c r="S3" t="s">
        <v>30</v>
      </c>
    </row>
    <row r="4" spans="1:19" x14ac:dyDescent="0.25">
      <c r="A4" t="s">
        <v>72</v>
      </c>
      <c r="B4">
        <v>3</v>
      </c>
      <c r="C4">
        <v>2</v>
      </c>
      <c r="D4">
        <v>2</v>
      </c>
      <c r="E4" t="s">
        <v>84</v>
      </c>
      <c r="F4" t="s">
        <v>62</v>
      </c>
      <c r="G4" t="s">
        <v>62</v>
      </c>
      <c r="H4" t="s">
        <v>62</v>
      </c>
      <c r="I4" t="s">
        <v>65</v>
      </c>
      <c r="J4" t="s">
        <v>62</v>
      </c>
      <c r="K4" t="s">
        <v>62</v>
      </c>
      <c r="L4" t="b">
        <v>1</v>
      </c>
      <c r="S4" t="s">
        <v>30</v>
      </c>
    </row>
    <row r="5" spans="1:19" x14ac:dyDescent="0.25">
      <c r="A5" t="s">
        <v>76</v>
      </c>
      <c r="B5">
        <v>3</v>
      </c>
      <c r="C5">
        <v>2</v>
      </c>
      <c r="D5">
        <v>2</v>
      </c>
      <c r="E5" t="s">
        <v>84</v>
      </c>
      <c r="F5" t="s">
        <v>62</v>
      </c>
      <c r="G5" t="s">
        <v>62</v>
      </c>
      <c r="H5" t="s">
        <v>62</v>
      </c>
      <c r="I5" t="s">
        <v>65</v>
      </c>
      <c r="J5" t="s">
        <v>62</v>
      </c>
      <c r="K5" t="s">
        <v>62</v>
      </c>
      <c r="L5" t="b">
        <v>1</v>
      </c>
      <c r="S5" t="s">
        <v>30</v>
      </c>
    </row>
    <row r="6" spans="1:19" x14ac:dyDescent="0.25">
      <c r="A6" t="s">
        <v>73</v>
      </c>
      <c r="B6">
        <v>3</v>
      </c>
      <c r="C6">
        <v>2</v>
      </c>
      <c r="D6">
        <v>2</v>
      </c>
      <c r="E6" t="s">
        <v>84</v>
      </c>
      <c r="F6" t="s">
        <v>62</v>
      </c>
      <c r="G6" t="s">
        <v>62</v>
      </c>
      <c r="H6" t="s">
        <v>62</v>
      </c>
      <c r="I6" t="s">
        <v>65</v>
      </c>
      <c r="J6" t="s">
        <v>62</v>
      </c>
      <c r="K6" t="s">
        <v>62</v>
      </c>
      <c r="L6" t="b">
        <v>1</v>
      </c>
      <c r="S6" t="s">
        <v>30</v>
      </c>
    </row>
    <row r="7" spans="1:19" x14ac:dyDescent="0.25">
      <c r="A7" t="s">
        <v>74</v>
      </c>
      <c r="B7">
        <v>3</v>
      </c>
      <c r="C7">
        <v>1</v>
      </c>
      <c r="D7" t="s">
        <v>30</v>
      </c>
      <c r="E7" t="s">
        <v>84</v>
      </c>
      <c r="F7" t="s">
        <v>62</v>
      </c>
      <c r="G7" t="s">
        <v>62</v>
      </c>
      <c r="H7" t="s">
        <v>62</v>
      </c>
      <c r="I7" t="s">
        <v>65</v>
      </c>
      <c r="J7" t="s">
        <v>62</v>
      </c>
      <c r="K7" t="s">
        <v>30</v>
      </c>
      <c r="L7" t="b">
        <v>1</v>
      </c>
      <c r="S7" t="s">
        <v>30</v>
      </c>
    </row>
    <row r="8" spans="1:19" x14ac:dyDescent="0.25">
      <c r="A8" t="s">
        <v>75</v>
      </c>
      <c r="B8">
        <v>3</v>
      </c>
      <c r="C8">
        <v>2</v>
      </c>
      <c r="D8">
        <v>2</v>
      </c>
      <c r="E8" t="s">
        <v>84</v>
      </c>
      <c r="F8" t="s">
        <v>62</v>
      </c>
      <c r="G8" t="s">
        <v>62</v>
      </c>
      <c r="H8" t="s">
        <v>62</v>
      </c>
      <c r="I8" t="s">
        <v>65</v>
      </c>
      <c r="J8" t="s">
        <v>62</v>
      </c>
      <c r="K8" t="s">
        <v>62</v>
      </c>
      <c r="L8" t="b">
        <v>1</v>
      </c>
      <c r="S8" t="s">
        <v>30</v>
      </c>
    </row>
    <row r="9" spans="1:19" x14ac:dyDescent="0.25">
      <c r="A9" t="s">
        <v>77</v>
      </c>
      <c r="B9">
        <v>1</v>
      </c>
      <c r="C9">
        <v>2</v>
      </c>
      <c r="D9" t="s">
        <v>30</v>
      </c>
      <c r="E9" t="s">
        <v>84</v>
      </c>
      <c r="F9" t="s">
        <v>62</v>
      </c>
      <c r="G9" t="s">
        <v>30</v>
      </c>
      <c r="H9" t="s">
        <v>30</v>
      </c>
      <c r="I9" t="s">
        <v>65</v>
      </c>
      <c r="J9" t="s">
        <v>62</v>
      </c>
      <c r="K9" t="s">
        <v>62</v>
      </c>
      <c r="L9" t="b">
        <v>0</v>
      </c>
      <c r="S9" t="s">
        <v>30</v>
      </c>
    </row>
    <row r="10" spans="1:19" x14ac:dyDescent="0.25">
      <c r="A10" t="s">
        <v>78</v>
      </c>
      <c r="B10">
        <v>1</v>
      </c>
      <c r="C10" t="s">
        <v>30</v>
      </c>
      <c r="D10" t="s">
        <v>30</v>
      </c>
      <c r="E10" t="s">
        <v>85</v>
      </c>
      <c r="F10" t="s">
        <v>79</v>
      </c>
      <c r="G10" t="s">
        <v>30</v>
      </c>
      <c r="H10" t="s">
        <v>30</v>
      </c>
      <c r="I10" t="s">
        <v>30</v>
      </c>
      <c r="J10" t="s">
        <v>30</v>
      </c>
      <c r="K10" t="s">
        <v>30</v>
      </c>
      <c r="L10" t="b">
        <v>0</v>
      </c>
      <c r="S10" t="s">
        <v>30</v>
      </c>
    </row>
    <row r="11" spans="1:19" x14ac:dyDescent="0.25">
      <c r="A11" t="s">
        <v>80</v>
      </c>
      <c r="B11">
        <v>1</v>
      </c>
      <c r="C11" t="s">
        <v>30</v>
      </c>
      <c r="D11" t="s">
        <v>30</v>
      </c>
      <c r="E11" t="s">
        <v>84</v>
      </c>
      <c r="F11" t="s">
        <v>62</v>
      </c>
      <c r="G11" t="s">
        <v>30</v>
      </c>
      <c r="H11" t="s">
        <v>30</v>
      </c>
      <c r="I11" t="s">
        <v>65</v>
      </c>
      <c r="J11" t="s">
        <v>30</v>
      </c>
      <c r="K11" t="s">
        <v>30</v>
      </c>
      <c r="L11" t="b">
        <v>0</v>
      </c>
      <c r="S11" t="s">
        <v>30</v>
      </c>
    </row>
    <row r="12" spans="1:19" x14ac:dyDescent="0.25">
      <c r="A12" t="s">
        <v>81</v>
      </c>
      <c r="B12">
        <v>1</v>
      </c>
      <c r="C12">
        <v>1</v>
      </c>
      <c r="D12" t="s">
        <v>30</v>
      </c>
      <c r="E12" t="s">
        <v>84</v>
      </c>
      <c r="F12" t="s">
        <v>62</v>
      </c>
      <c r="G12" t="s">
        <v>30</v>
      </c>
      <c r="H12" t="s">
        <v>30</v>
      </c>
      <c r="I12" t="s">
        <v>65</v>
      </c>
      <c r="J12" t="s">
        <v>62</v>
      </c>
      <c r="K12" t="s">
        <v>30</v>
      </c>
      <c r="L12" t="b">
        <v>1</v>
      </c>
      <c r="S12" t="s">
        <v>30</v>
      </c>
    </row>
    <row r="13" spans="1:19" x14ac:dyDescent="0.25">
      <c r="A13" t="s">
        <v>82</v>
      </c>
      <c r="B13">
        <v>1</v>
      </c>
      <c r="C13" t="s">
        <v>30</v>
      </c>
      <c r="D13" t="s">
        <v>30</v>
      </c>
      <c r="E13" t="s">
        <v>85</v>
      </c>
      <c r="F13" t="s">
        <v>62</v>
      </c>
      <c r="G13" t="s">
        <v>30</v>
      </c>
      <c r="H13" t="s">
        <v>30</v>
      </c>
      <c r="I13" t="s">
        <v>30</v>
      </c>
      <c r="J13" t="s">
        <v>30</v>
      </c>
      <c r="K13" t="s">
        <v>30</v>
      </c>
      <c r="L13" t="b">
        <v>0</v>
      </c>
      <c r="S13" t="s">
        <v>30</v>
      </c>
    </row>
    <row r="14" spans="1:19" x14ac:dyDescent="0.25">
      <c r="A14" t="s">
        <v>83</v>
      </c>
      <c r="B14">
        <v>3</v>
      </c>
      <c r="C14">
        <v>2</v>
      </c>
      <c r="D14">
        <v>2</v>
      </c>
      <c r="E14" t="s">
        <v>84</v>
      </c>
      <c r="F14" t="s">
        <v>124</v>
      </c>
      <c r="G14" t="s">
        <v>125</v>
      </c>
      <c r="H14" t="s">
        <v>62</v>
      </c>
      <c r="I14" t="s">
        <v>65</v>
      </c>
      <c r="J14" t="s">
        <v>88</v>
      </c>
      <c r="K14" t="s">
        <v>89</v>
      </c>
      <c r="L14" t="b">
        <v>1</v>
      </c>
    </row>
    <row r="15" spans="1:19" x14ac:dyDescent="0.25">
      <c r="A15" t="s">
        <v>118</v>
      </c>
      <c r="B15">
        <v>3</v>
      </c>
      <c r="C15">
        <v>2</v>
      </c>
      <c r="D15">
        <v>2</v>
      </c>
      <c r="E15" t="s">
        <v>84</v>
      </c>
      <c r="F15" t="s">
        <v>124</v>
      </c>
      <c r="G15" t="s">
        <v>125</v>
      </c>
      <c r="H15" t="s">
        <v>62</v>
      </c>
      <c r="I15" t="s">
        <v>65</v>
      </c>
      <c r="J15" t="s">
        <v>88</v>
      </c>
      <c r="K15" t="s">
        <v>89</v>
      </c>
      <c r="L15" t="b">
        <v>1</v>
      </c>
    </row>
    <row r="16" spans="1:19" x14ac:dyDescent="0.25">
      <c r="A16" t="s">
        <v>90</v>
      </c>
      <c r="B16">
        <v>3</v>
      </c>
      <c r="C16">
        <v>2</v>
      </c>
      <c r="D16">
        <v>2</v>
      </c>
      <c r="E16" t="s">
        <v>84</v>
      </c>
      <c r="F16" t="s">
        <v>124</v>
      </c>
      <c r="G16" t="s">
        <v>125</v>
      </c>
      <c r="H16" t="s">
        <v>62</v>
      </c>
      <c r="I16" t="s">
        <v>65</v>
      </c>
      <c r="J16" t="s">
        <v>88</v>
      </c>
      <c r="K16" t="s">
        <v>89</v>
      </c>
      <c r="L16" t="b">
        <v>1</v>
      </c>
    </row>
    <row r="17" spans="1:12" x14ac:dyDescent="0.25">
      <c r="A17" t="s">
        <v>91</v>
      </c>
      <c r="B17">
        <v>1</v>
      </c>
      <c r="C17">
        <v>1</v>
      </c>
      <c r="D17" t="s">
        <v>30</v>
      </c>
      <c r="E17" t="s">
        <v>84</v>
      </c>
      <c r="F17" t="s">
        <v>62</v>
      </c>
      <c r="G17" t="s">
        <v>30</v>
      </c>
      <c r="H17" t="s">
        <v>30</v>
      </c>
      <c r="I17" t="s">
        <v>65</v>
      </c>
      <c r="J17" t="s">
        <v>88</v>
      </c>
      <c r="K17" t="s">
        <v>30</v>
      </c>
      <c r="L17" t="b">
        <v>1</v>
      </c>
    </row>
    <row r="18" spans="1:12" x14ac:dyDescent="0.25">
      <c r="A18" t="s">
        <v>92</v>
      </c>
      <c r="B18">
        <v>3</v>
      </c>
      <c r="C18">
        <v>1</v>
      </c>
      <c r="D18" t="s">
        <v>30</v>
      </c>
      <c r="E18" t="s">
        <v>85</v>
      </c>
      <c r="F18" t="s">
        <v>62</v>
      </c>
      <c r="G18" t="s">
        <v>62</v>
      </c>
      <c r="H18" t="s">
        <v>62</v>
      </c>
      <c r="I18" t="s">
        <v>86</v>
      </c>
      <c r="J18" t="s">
        <v>87</v>
      </c>
      <c r="K18" t="s">
        <v>30</v>
      </c>
      <c r="L18" t="b">
        <v>0</v>
      </c>
    </row>
    <row r="19" spans="1:12" x14ac:dyDescent="0.25">
      <c r="A19" t="s">
        <v>93</v>
      </c>
      <c r="B19">
        <v>1</v>
      </c>
      <c r="C19">
        <v>1</v>
      </c>
      <c r="D19" t="s">
        <v>30</v>
      </c>
      <c r="E19" t="s">
        <v>85</v>
      </c>
      <c r="F19" t="s">
        <v>79</v>
      </c>
      <c r="G19" t="s">
        <v>30</v>
      </c>
      <c r="H19" t="s">
        <v>30</v>
      </c>
      <c r="I19" t="s">
        <v>65</v>
      </c>
      <c r="J19" t="s">
        <v>86</v>
      </c>
      <c r="K19" t="s">
        <v>30</v>
      </c>
      <c r="L19" t="b">
        <v>0</v>
      </c>
    </row>
    <row r="20" spans="1:12" x14ac:dyDescent="0.25">
      <c r="A20" t="s">
        <v>94</v>
      </c>
      <c r="B20">
        <v>1</v>
      </c>
      <c r="C20">
        <v>1</v>
      </c>
      <c r="D20" t="s">
        <v>30</v>
      </c>
      <c r="E20" t="s">
        <v>58</v>
      </c>
      <c r="F20" t="s">
        <v>79</v>
      </c>
      <c r="G20" t="s">
        <v>30</v>
      </c>
      <c r="H20" t="s">
        <v>30</v>
      </c>
      <c r="I20" t="s">
        <v>95</v>
      </c>
      <c r="J20" t="s">
        <v>86</v>
      </c>
      <c r="K20" t="s">
        <v>30</v>
      </c>
      <c r="L20" t="b">
        <v>0</v>
      </c>
    </row>
    <row r="21" spans="1:12" x14ac:dyDescent="0.25">
      <c r="A21" t="s">
        <v>97</v>
      </c>
      <c r="B21">
        <v>1</v>
      </c>
      <c r="C21">
        <v>1</v>
      </c>
      <c r="D21" t="s">
        <v>30</v>
      </c>
      <c r="E21" t="s">
        <v>85</v>
      </c>
      <c r="F21" t="s">
        <v>79</v>
      </c>
      <c r="G21" t="s">
        <v>30</v>
      </c>
      <c r="H21" t="s">
        <v>30</v>
      </c>
      <c r="I21" t="s">
        <v>65</v>
      </c>
      <c r="J21" t="s">
        <v>86</v>
      </c>
      <c r="K21" t="s">
        <v>30</v>
      </c>
      <c r="L21" t="b">
        <v>0</v>
      </c>
    </row>
    <row r="22" spans="1:12" x14ac:dyDescent="0.25">
      <c r="A22" t="s">
        <v>99</v>
      </c>
      <c r="B22">
        <v>1</v>
      </c>
      <c r="C22" t="s">
        <v>30</v>
      </c>
      <c r="D22" t="s">
        <v>30</v>
      </c>
      <c r="E22" t="s">
        <v>85</v>
      </c>
      <c r="F22" t="s">
        <v>79</v>
      </c>
      <c r="G22" t="s">
        <v>30</v>
      </c>
      <c r="H22" t="s">
        <v>30</v>
      </c>
      <c r="I22" t="s">
        <v>65</v>
      </c>
      <c r="J22" t="s">
        <v>30</v>
      </c>
      <c r="K22" t="s">
        <v>30</v>
      </c>
      <c r="L22" t="b">
        <v>0</v>
      </c>
    </row>
    <row r="23" spans="1:12" x14ac:dyDescent="0.25">
      <c r="A23" t="s">
        <v>100</v>
      </c>
      <c r="B23">
        <v>1</v>
      </c>
      <c r="C23">
        <v>1</v>
      </c>
      <c r="D23" t="s">
        <v>30</v>
      </c>
      <c r="E23" t="s">
        <v>58</v>
      </c>
      <c r="F23" t="s">
        <v>79</v>
      </c>
      <c r="G23" t="s">
        <v>30</v>
      </c>
      <c r="H23" t="s">
        <v>30</v>
      </c>
      <c r="I23" t="s">
        <v>86</v>
      </c>
      <c r="J23" t="s">
        <v>86</v>
      </c>
      <c r="K23" t="s">
        <v>30</v>
      </c>
      <c r="L23" t="b">
        <v>0</v>
      </c>
    </row>
    <row r="24" spans="1:12" x14ac:dyDescent="0.25">
      <c r="A24" t="s">
        <v>101</v>
      </c>
      <c r="B24">
        <v>1</v>
      </c>
      <c r="C24">
        <v>1</v>
      </c>
      <c r="D24" t="s">
        <v>30</v>
      </c>
      <c r="E24" t="s">
        <v>58</v>
      </c>
      <c r="F24" t="s">
        <v>79</v>
      </c>
      <c r="G24" t="s">
        <v>30</v>
      </c>
      <c r="H24" t="s">
        <v>30</v>
      </c>
      <c r="I24" t="s">
        <v>86</v>
      </c>
      <c r="J24" t="s">
        <v>86</v>
      </c>
      <c r="K24" t="s">
        <v>30</v>
      </c>
      <c r="L24" t="b">
        <v>0</v>
      </c>
    </row>
    <row r="25" spans="1:12" x14ac:dyDescent="0.25">
      <c r="A25" t="s">
        <v>102</v>
      </c>
      <c r="B25">
        <v>1</v>
      </c>
      <c r="C25">
        <v>1</v>
      </c>
      <c r="D25" t="s">
        <v>30</v>
      </c>
      <c r="E25" t="s">
        <v>58</v>
      </c>
      <c r="F25" t="s">
        <v>79</v>
      </c>
      <c r="G25" t="s">
        <v>30</v>
      </c>
      <c r="H25" t="s">
        <v>30</v>
      </c>
      <c r="I25" t="s">
        <v>86</v>
      </c>
      <c r="J25" t="s">
        <v>86</v>
      </c>
      <c r="K25" t="s">
        <v>30</v>
      </c>
      <c r="L25" t="b">
        <v>0</v>
      </c>
    </row>
    <row r="26" spans="1:12" x14ac:dyDescent="0.25">
      <c r="A26" t="s">
        <v>103</v>
      </c>
      <c r="B26" t="s">
        <v>30</v>
      </c>
      <c r="C26">
        <v>1</v>
      </c>
      <c r="D26" t="s">
        <v>30</v>
      </c>
      <c r="E26" t="s">
        <v>85</v>
      </c>
      <c r="F26" t="s">
        <v>30</v>
      </c>
      <c r="G26" t="s">
        <v>30</v>
      </c>
      <c r="H26" t="s">
        <v>30</v>
      </c>
      <c r="I26" t="s">
        <v>65</v>
      </c>
      <c r="J26" t="s">
        <v>86</v>
      </c>
      <c r="K26" t="s">
        <v>30</v>
      </c>
      <c r="L26" t="b">
        <v>0</v>
      </c>
    </row>
    <row r="27" spans="1:12" x14ac:dyDescent="0.25">
      <c r="A27" t="s">
        <v>104</v>
      </c>
      <c r="B27">
        <v>3</v>
      </c>
      <c r="C27">
        <v>2</v>
      </c>
      <c r="D27">
        <v>2</v>
      </c>
      <c r="E27" t="s">
        <v>84</v>
      </c>
      <c r="F27" t="s">
        <v>62</v>
      </c>
      <c r="G27" t="s">
        <v>62</v>
      </c>
      <c r="H27" t="s">
        <v>62</v>
      </c>
      <c r="I27" t="s">
        <v>95</v>
      </c>
      <c r="J27" t="s">
        <v>95</v>
      </c>
      <c r="K27" t="s">
        <v>95</v>
      </c>
      <c r="L27" t="b">
        <v>1</v>
      </c>
    </row>
    <row r="28" spans="1:12" x14ac:dyDescent="0.25">
      <c r="A28" t="s">
        <v>105</v>
      </c>
      <c r="B28">
        <v>1</v>
      </c>
      <c r="C28" t="s">
        <v>30</v>
      </c>
      <c r="D28" t="s">
        <v>30</v>
      </c>
      <c r="E28" t="s">
        <v>58</v>
      </c>
      <c r="F28" t="s">
        <v>79</v>
      </c>
      <c r="G28" t="s">
        <v>30</v>
      </c>
      <c r="H28" t="s">
        <v>30</v>
      </c>
      <c r="I28" t="s">
        <v>86</v>
      </c>
      <c r="J28" t="s">
        <v>86</v>
      </c>
      <c r="K28" t="s">
        <v>30</v>
      </c>
      <c r="L28" t="b">
        <v>0</v>
      </c>
    </row>
    <row r="29" spans="1:12" x14ac:dyDescent="0.25">
      <c r="A29" t="s">
        <v>106</v>
      </c>
      <c r="B29">
        <v>1</v>
      </c>
      <c r="C29" t="s">
        <v>30</v>
      </c>
      <c r="D29" t="s">
        <v>30</v>
      </c>
      <c r="E29" t="s">
        <v>85</v>
      </c>
      <c r="F29" t="s">
        <v>79</v>
      </c>
      <c r="G29" t="s">
        <v>30</v>
      </c>
      <c r="H29" t="s">
        <v>30</v>
      </c>
      <c r="I29" t="s">
        <v>86</v>
      </c>
      <c r="J29" t="s">
        <v>86</v>
      </c>
      <c r="K29" t="s">
        <v>30</v>
      </c>
      <c r="L29" t="b">
        <v>0</v>
      </c>
    </row>
    <row r="30" spans="1:12" x14ac:dyDescent="0.25">
      <c r="A30" t="s">
        <v>107</v>
      </c>
      <c r="B30">
        <v>3</v>
      </c>
      <c r="C30">
        <v>2</v>
      </c>
      <c r="D30" t="s">
        <v>30</v>
      </c>
      <c r="E30" t="s">
        <v>58</v>
      </c>
      <c r="F30" t="s">
        <v>79</v>
      </c>
      <c r="G30" t="s">
        <v>79</v>
      </c>
      <c r="H30" t="s">
        <v>79</v>
      </c>
      <c r="I30" t="s">
        <v>95</v>
      </c>
      <c r="J30" t="s">
        <v>95</v>
      </c>
      <c r="K30" t="s">
        <v>95</v>
      </c>
      <c r="L30" t="b">
        <v>0</v>
      </c>
    </row>
    <row r="31" spans="1:12" x14ac:dyDescent="0.25">
      <c r="A31" t="s">
        <v>108</v>
      </c>
      <c r="B31">
        <v>3</v>
      </c>
      <c r="C31">
        <v>2</v>
      </c>
      <c r="D31" t="s">
        <v>30</v>
      </c>
      <c r="E31" t="s">
        <v>85</v>
      </c>
      <c r="F31" t="s">
        <v>79</v>
      </c>
      <c r="G31" t="s">
        <v>79</v>
      </c>
      <c r="H31" t="s">
        <v>79</v>
      </c>
      <c r="I31" t="s">
        <v>95</v>
      </c>
      <c r="J31" t="s">
        <v>95</v>
      </c>
      <c r="K31" t="s">
        <v>95</v>
      </c>
      <c r="L31" t="b">
        <v>0</v>
      </c>
    </row>
    <row r="32" spans="1:12" x14ac:dyDescent="0.25">
      <c r="A32" t="s">
        <v>127</v>
      </c>
      <c r="B32">
        <v>1</v>
      </c>
      <c r="C32">
        <v>1</v>
      </c>
      <c r="D32" t="s">
        <v>30</v>
      </c>
      <c r="E32" t="s">
        <v>58</v>
      </c>
      <c r="F32" t="s">
        <v>79</v>
      </c>
      <c r="G32" t="s">
        <v>30</v>
      </c>
      <c r="H32" t="s">
        <v>30</v>
      </c>
      <c r="I32" t="s">
        <v>86</v>
      </c>
      <c r="J32" t="s">
        <v>86</v>
      </c>
      <c r="K32" t="s">
        <v>30</v>
      </c>
      <c r="L32" t="b">
        <v>0</v>
      </c>
    </row>
    <row r="34" spans="2:2" x14ac:dyDescent="0.25">
      <c r="B34" s="1" t="s">
        <v>96</v>
      </c>
    </row>
    <row r="35" spans="2:2" x14ac:dyDescent="0.25">
      <c r="B35" s="2" t="s">
        <v>69</v>
      </c>
    </row>
    <row r="36" spans="2:2" x14ac:dyDescent="0.25">
      <c r="B36" s="38" t="s">
        <v>70</v>
      </c>
    </row>
    <row r="37" spans="2:2" x14ac:dyDescent="0.25">
      <c r="B37" s="39" t="s">
        <v>71</v>
      </c>
    </row>
  </sheetData>
  <pageMargins left="0.7" right="0.7" top="0.75" bottom="0.75" header="0.3" footer="0.3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4921-051A-4CE0-B10E-429C80127836}">
  <sheetPr codeName="Sheet4"/>
  <dimension ref="A1:J3"/>
  <sheetViews>
    <sheetView tabSelected="1" workbookViewId="0">
      <selection activeCell="G8" sqref="G8"/>
    </sheetView>
  </sheetViews>
  <sheetFormatPr defaultRowHeight="15" x14ac:dyDescent="0.25"/>
  <cols>
    <col min="1" max="1" width="11.42578125" bestFit="1" customWidth="1"/>
    <col min="2" max="2" width="11.42578125" customWidth="1"/>
    <col min="3" max="3" width="10.42578125" customWidth="1"/>
    <col min="4" max="4" width="11.28515625" bestFit="1" customWidth="1"/>
    <col min="5" max="5" width="11.28515625" customWidth="1"/>
    <col min="6" max="6" width="15.5703125" bestFit="1" customWidth="1"/>
    <col min="7" max="7" width="15.28515625" bestFit="1" customWidth="1"/>
    <col min="8" max="8" width="10.5703125" bestFit="1" customWidth="1"/>
    <col min="9" max="9" width="8" bestFit="1" customWidth="1"/>
    <col min="10" max="11" width="10.28515625" bestFit="1" customWidth="1"/>
  </cols>
  <sheetData>
    <row r="1" spans="1:10" x14ac:dyDescent="0.25">
      <c r="A1" s="39" t="s">
        <v>109</v>
      </c>
      <c r="B1" s="38" t="s">
        <v>117</v>
      </c>
      <c r="C1" s="38" t="s">
        <v>111</v>
      </c>
      <c r="D1" s="38" t="s">
        <v>27</v>
      </c>
      <c r="E1" s="38" t="s">
        <v>115</v>
      </c>
      <c r="F1" s="38" t="s">
        <v>28</v>
      </c>
      <c r="G1" s="38" t="s">
        <v>40</v>
      </c>
      <c r="H1" s="38" t="s">
        <v>41</v>
      </c>
      <c r="I1" s="38" t="s">
        <v>42</v>
      </c>
      <c r="J1" s="38" t="s">
        <v>39</v>
      </c>
    </row>
    <row r="2" spans="1:10" x14ac:dyDescent="0.25">
      <c r="A2" t="s">
        <v>110</v>
      </c>
      <c r="B2" t="s">
        <v>118</v>
      </c>
      <c r="C2" t="s">
        <v>112</v>
      </c>
      <c r="D2" t="s">
        <v>113</v>
      </c>
      <c r="E2">
        <v>2</v>
      </c>
      <c r="F2" t="s">
        <v>114</v>
      </c>
      <c r="G2">
        <v>4</v>
      </c>
      <c r="H2" t="s">
        <v>116</v>
      </c>
      <c r="I2" t="b">
        <v>0</v>
      </c>
      <c r="J2" t="b">
        <v>0</v>
      </c>
    </row>
    <row r="3" spans="1:10" x14ac:dyDescent="0.25">
      <c r="A3" t="s">
        <v>129</v>
      </c>
      <c r="B3" t="s">
        <v>100</v>
      </c>
      <c r="C3" t="s">
        <v>130</v>
      </c>
      <c r="D3" t="s">
        <v>131</v>
      </c>
      <c r="E3">
        <v>1</v>
      </c>
      <c r="F3" t="s">
        <v>132</v>
      </c>
      <c r="G3">
        <v>4.1100000000000003</v>
      </c>
      <c r="H3" t="s">
        <v>116</v>
      </c>
      <c r="I3" t="b">
        <v>0</v>
      </c>
      <c r="J3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81D78-7E01-49B4-ACF9-4C4A5A56F6DD}">
  <sheetPr codeName="Sheet5"/>
  <dimension ref="A1:L12"/>
  <sheetViews>
    <sheetView workbookViewId="0">
      <selection sqref="A1:L12"/>
    </sheetView>
  </sheetViews>
  <sheetFormatPr defaultRowHeight="15" x14ac:dyDescent="0.25"/>
  <cols>
    <col min="1" max="1" width="7.5703125" customWidth="1"/>
    <col min="2" max="2" width="18.28515625" customWidth="1"/>
    <col min="3" max="3" width="20" customWidth="1"/>
    <col min="4" max="4" width="18.7109375" customWidth="1"/>
    <col min="5" max="5" width="13.42578125" customWidth="1"/>
    <col min="6" max="9" width="21.28515625" customWidth="1"/>
    <col min="10" max="11" width="20.140625" customWidth="1"/>
    <col min="12" max="12" width="13.140625" customWidth="1"/>
  </cols>
  <sheetData>
    <row r="1" spans="1:12" x14ac:dyDescent="0.25">
      <c r="A1" s="2" t="s">
        <v>56</v>
      </c>
      <c r="B1" s="2" t="s">
        <v>29</v>
      </c>
      <c r="C1" s="2" t="s">
        <v>31</v>
      </c>
      <c r="D1" s="2" t="s">
        <v>32</v>
      </c>
      <c r="E1" s="2" t="s">
        <v>26</v>
      </c>
      <c r="F1" s="2" t="s">
        <v>66</v>
      </c>
      <c r="G1" s="2" t="s">
        <v>67</v>
      </c>
      <c r="H1" s="2" t="s">
        <v>68</v>
      </c>
      <c r="I1" s="2" t="s">
        <v>64</v>
      </c>
      <c r="J1" s="2" t="s">
        <v>59</v>
      </c>
      <c r="K1" s="2" t="s">
        <v>60</v>
      </c>
      <c r="L1" s="2" t="s">
        <v>57</v>
      </c>
    </row>
    <row r="2" spans="1:12" x14ac:dyDescent="0.25">
      <c r="A2" t="s">
        <v>118</v>
      </c>
      <c r="B2">
        <v>3</v>
      </c>
      <c r="C2">
        <v>2</v>
      </c>
      <c r="D2">
        <v>2</v>
      </c>
      <c r="E2" t="s">
        <v>84</v>
      </c>
      <c r="F2" t="s">
        <v>124</v>
      </c>
      <c r="G2" t="s">
        <v>125</v>
      </c>
      <c r="H2" t="s">
        <v>62</v>
      </c>
      <c r="I2" t="s">
        <v>65</v>
      </c>
      <c r="J2" t="s">
        <v>88</v>
      </c>
      <c r="K2" t="s">
        <v>89</v>
      </c>
      <c r="L2" t="b">
        <v>1</v>
      </c>
    </row>
    <row r="3" spans="1:12" x14ac:dyDescent="0.25">
      <c r="A3" t="s">
        <v>99</v>
      </c>
      <c r="B3">
        <v>1</v>
      </c>
      <c r="C3" t="s">
        <v>30</v>
      </c>
      <c r="D3" t="s">
        <v>30</v>
      </c>
      <c r="E3" t="s">
        <v>85</v>
      </c>
      <c r="F3" t="s">
        <v>98</v>
      </c>
      <c r="G3" t="s">
        <v>30</v>
      </c>
      <c r="H3" t="s">
        <v>30</v>
      </c>
      <c r="I3" t="s">
        <v>65</v>
      </c>
      <c r="J3" t="s">
        <v>30</v>
      </c>
      <c r="K3" t="s">
        <v>30</v>
      </c>
      <c r="L3" t="b">
        <v>0</v>
      </c>
    </row>
    <row r="4" spans="1:12" x14ac:dyDescent="0.25">
      <c r="A4" t="s">
        <v>100</v>
      </c>
      <c r="B4">
        <v>1</v>
      </c>
      <c r="C4">
        <v>1</v>
      </c>
      <c r="D4" t="s">
        <v>30</v>
      </c>
      <c r="E4" t="s">
        <v>58</v>
      </c>
      <c r="F4" t="s">
        <v>79</v>
      </c>
      <c r="G4" t="s">
        <v>30</v>
      </c>
      <c r="H4" t="s">
        <v>30</v>
      </c>
      <c r="I4" t="s">
        <v>86</v>
      </c>
      <c r="J4" t="s">
        <v>86</v>
      </c>
      <c r="K4" t="s">
        <v>30</v>
      </c>
      <c r="L4" t="b">
        <v>0</v>
      </c>
    </row>
    <row r="5" spans="1:12" x14ac:dyDescent="0.25">
      <c r="A5" t="s">
        <v>102</v>
      </c>
      <c r="B5">
        <v>1</v>
      </c>
      <c r="C5">
        <v>1</v>
      </c>
      <c r="D5" t="s">
        <v>30</v>
      </c>
      <c r="E5" t="s">
        <v>58</v>
      </c>
      <c r="F5" t="s">
        <v>79</v>
      </c>
      <c r="G5" t="s">
        <v>30</v>
      </c>
      <c r="H5" t="s">
        <v>30</v>
      </c>
      <c r="I5" t="s">
        <v>86</v>
      </c>
      <c r="J5" t="s">
        <v>86</v>
      </c>
      <c r="K5" t="s">
        <v>30</v>
      </c>
      <c r="L5" t="b">
        <v>0</v>
      </c>
    </row>
    <row r="6" spans="1:12" x14ac:dyDescent="0.25">
      <c r="A6" t="s">
        <v>103</v>
      </c>
      <c r="B6" t="s">
        <v>30</v>
      </c>
      <c r="C6">
        <v>1</v>
      </c>
      <c r="D6" t="s">
        <v>30</v>
      </c>
      <c r="E6" t="s">
        <v>85</v>
      </c>
      <c r="F6" t="s">
        <v>30</v>
      </c>
      <c r="G6" t="s">
        <v>30</v>
      </c>
      <c r="H6" t="s">
        <v>30</v>
      </c>
      <c r="I6" t="s">
        <v>65</v>
      </c>
      <c r="J6" t="s">
        <v>86</v>
      </c>
      <c r="K6" t="s">
        <v>30</v>
      </c>
      <c r="L6" t="b">
        <v>0</v>
      </c>
    </row>
    <row r="7" spans="1:12" x14ac:dyDescent="0.25">
      <c r="A7" t="s">
        <v>105</v>
      </c>
      <c r="B7">
        <v>1</v>
      </c>
      <c r="C7" t="s">
        <v>30</v>
      </c>
      <c r="D7" t="s">
        <v>30</v>
      </c>
      <c r="E7" t="s">
        <v>58</v>
      </c>
      <c r="F7" t="s">
        <v>79</v>
      </c>
      <c r="G7" t="s">
        <v>30</v>
      </c>
      <c r="H7" t="s">
        <v>30</v>
      </c>
      <c r="I7" t="s">
        <v>86</v>
      </c>
      <c r="J7" t="s">
        <v>86</v>
      </c>
      <c r="K7" t="s">
        <v>30</v>
      </c>
      <c r="L7" t="b">
        <v>0</v>
      </c>
    </row>
    <row r="8" spans="1:12" x14ac:dyDescent="0.25">
      <c r="A8" t="s">
        <v>106</v>
      </c>
      <c r="B8">
        <v>1</v>
      </c>
      <c r="C8" t="s">
        <v>30</v>
      </c>
      <c r="D8" t="s">
        <v>30</v>
      </c>
      <c r="E8" t="s">
        <v>85</v>
      </c>
      <c r="F8" t="s">
        <v>79</v>
      </c>
      <c r="G8" t="s">
        <v>30</v>
      </c>
      <c r="H8" t="s">
        <v>30</v>
      </c>
      <c r="I8" t="s">
        <v>86</v>
      </c>
      <c r="J8" t="s">
        <v>86</v>
      </c>
      <c r="K8" t="s">
        <v>30</v>
      </c>
      <c r="L8" t="b">
        <v>0</v>
      </c>
    </row>
    <row r="9" spans="1:12" x14ac:dyDescent="0.25">
      <c r="A9" t="s">
        <v>107</v>
      </c>
      <c r="B9">
        <v>3</v>
      </c>
      <c r="C9">
        <v>2</v>
      </c>
      <c r="D9" t="s">
        <v>30</v>
      </c>
      <c r="E9" t="s">
        <v>58</v>
      </c>
      <c r="F9" t="s">
        <v>79</v>
      </c>
      <c r="G9" t="s">
        <v>79</v>
      </c>
      <c r="H9" t="s">
        <v>79</v>
      </c>
      <c r="I9" t="s">
        <v>95</v>
      </c>
      <c r="J9" t="s">
        <v>95</v>
      </c>
      <c r="K9" t="s">
        <v>95</v>
      </c>
      <c r="L9" t="b">
        <v>0</v>
      </c>
    </row>
    <row r="10" spans="1:12" x14ac:dyDescent="0.25">
      <c r="A10" t="s">
        <v>108</v>
      </c>
      <c r="B10">
        <v>3</v>
      </c>
      <c r="C10">
        <v>2</v>
      </c>
      <c r="D10" t="s">
        <v>30</v>
      </c>
      <c r="E10" t="s">
        <v>85</v>
      </c>
      <c r="F10" t="s">
        <v>79</v>
      </c>
      <c r="G10" t="s">
        <v>79</v>
      </c>
      <c r="H10" t="s">
        <v>79</v>
      </c>
      <c r="I10" t="s">
        <v>95</v>
      </c>
      <c r="J10" t="s">
        <v>95</v>
      </c>
      <c r="K10" t="s">
        <v>95</v>
      </c>
      <c r="L10" t="b">
        <v>0</v>
      </c>
    </row>
    <row r="11" spans="1:12" x14ac:dyDescent="0.25">
      <c r="A11" t="s">
        <v>127</v>
      </c>
      <c r="B11">
        <v>1</v>
      </c>
      <c r="C11">
        <v>1</v>
      </c>
      <c r="D11" t="s">
        <v>30</v>
      </c>
      <c r="E11" t="s">
        <v>58</v>
      </c>
      <c r="F11" t="s">
        <v>79</v>
      </c>
      <c r="G11" t="s">
        <v>30</v>
      </c>
      <c r="H11" t="s">
        <v>30</v>
      </c>
      <c r="I11" t="s">
        <v>86</v>
      </c>
      <c r="J11" t="s">
        <v>86</v>
      </c>
      <c r="K11" t="s">
        <v>30</v>
      </c>
      <c r="L11" t="b">
        <v>0</v>
      </c>
    </row>
    <row r="12" spans="1:12" x14ac:dyDescent="0.25">
      <c r="A12" t="s">
        <v>128</v>
      </c>
      <c r="B12">
        <v>1</v>
      </c>
      <c r="C12">
        <v>1</v>
      </c>
      <c r="D12" t="s">
        <v>30</v>
      </c>
      <c r="E12" t="s">
        <v>85</v>
      </c>
      <c r="F12" t="s">
        <v>79</v>
      </c>
      <c r="G12" t="s">
        <v>30</v>
      </c>
      <c r="H12" t="s">
        <v>30</v>
      </c>
      <c r="I12" t="s">
        <v>86</v>
      </c>
      <c r="J12" t="s">
        <v>86</v>
      </c>
      <c r="K12" t="s">
        <v>30</v>
      </c>
      <c r="L12" t="b">
        <v>0</v>
      </c>
    </row>
  </sheetData>
  <pageMargins left="0.7" right="0.7" top="0.75" bottom="0.75" header="0.3" footer="0.3"/>
  <pageSetup paperSize="9" orientation="portrait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52C03-E06E-4EA1-A9C9-6A63EA9A574E}">
  <sheetPr codeName="Sheet6"/>
  <dimension ref="A1:P18"/>
  <sheetViews>
    <sheetView topLeftCell="F1" zoomScale="110" zoomScaleNormal="110" workbookViewId="0">
      <selection activeCell="P2" sqref="P2"/>
    </sheetView>
  </sheetViews>
  <sheetFormatPr defaultRowHeight="15" x14ac:dyDescent="0.25"/>
  <cols>
    <col min="1" max="1" width="25" bestFit="1" customWidth="1"/>
    <col min="2" max="2" width="8.5703125" bestFit="1" customWidth="1"/>
    <col min="3" max="3" width="18.7109375" bestFit="1" customWidth="1"/>
    <col min="4" max="4" width="13.7109375" bestFit="1" customWidth="1"/>
    <col min="5" max="5" width="19.5703125" customWidth="1"/>
    <col min="6" max="6" width="11.28515625" bestFit="1" customWidth="1"/>
    <col min="7" max="7" width="15.5703125" bestFit="1" customWidth="1"/>
    <col min="8" max="8" width="15.28515625" bestFit="1" customWidth="1"/>
    <col min="9" max="9" width="10.5703125" bestFit="1" customWidth="1"/>
    <col min="10" max="10" width="8" bestFit="1" customWidth="1"/>
    <col min="11" max="11" width="10.28515625" bestFit="1" customWidth="1"/>
    <col min="12" max="12" width="12" bestFit="1" customWidth="1"/>
    <col min="13" max="13" width="10.28515625" bestFit="1" customWidth="1"/>
    <col min="14" max="14" width="17.28515625" bestFit="1" customWidth="1"/>
    <col min="15" max="16" width="18.42578125" bestFit="1" customWidth="1"/>
  </cols>
  <sheetData>
    <row r="1" spans="1:16" x14ac:dyDescent="0.25">
      <c r="B1" s="39" t="s">
        <v>109</v>
      </c>
      <c r="C1" s="38" t="s">
        <v>117</v>
      </c>
      <c r="D1" s="38" t="s">
        <v>111</v>
      </c>
      <c r="E1" s="38" t="s">
        <v>27</v>
      </c>
      <c r="F1" s="38" t="s">
        <v>115</v>
      </c>
      <c r="G1" s="38" t="s">
        <v>28</v>
      </c>
      <c r="H1" s="38" t="s">
        <v>40</v>
      </c>
      <c r="I1" s="38" t="s">
        <v>41</v>
      </c>
      <c r="J1" s="38" t="s">
        <v>42</v>
      </c>
      <c r="K1" s="38" t="s">
        <v>39</v>
      </c>
      <c r="L1" s="2" t="s">
        <v>121</v>
      </c>
      <c r="M1" s="2" t="s">
        <v>123</v>
      </c>
      <c r="N1" s="2" t="s">
        <v>126</v>
      </c>
      <c r="O1" s="2" t="s">
        <v>31</v>
      </c>
      <c r="P1" s="2" t="s">
        <v>133</v>
      </c>
    </row>
    <row r="2" spans="1:16" x14ac:dyDescent="0.25">
      <c r="A2" t="s">
        <v>119</v>
      </c>
      <c r="B2" t="s">
        <v>134</v>
      </c>
      <c r="C2" t="str">
        <f>VLOOKUP(B2,'Data Example'!A:J,2,FALSE)</f>
        <v>B16R</v>
      </c>
      <c r="D2" t="str">
        <f>VLOOKUP(C2,'Data Example'!B:K,2,FALSE)</f>
        <v>NMS1590</v>
      </c>
      <c r="E2" t="str">
        <f>VLOOKUP(D2,'Data Example'!C:L,2,FALSE)</f>
        <v>HDMS</v>
      </c>
      <c r="F2">
        <f>VLOOKUP(E2,'Data Example'!D:M,2,FALSE)</f>
        <v>2</v>
      </c>
      <c r="G2" t="str">
        <f>VLOOKUP(F2,'Data Example'!E:N,2,FALSE)</f>
        <v>W7</v>
      </c>
      <c r="H2">
        <f>VLOOKUP(G2,'Data Example'!F:O,2,FALSE)</f>
        <v>4</v>
      </c>
      <c r="I2" t="str">
        <f>VLOOKUP(H2,'Data Example'!G:P,2,FALSE)</f>
        <v>NM4</v>
      </c>
      <c r="J2" t="b">
        <f>VLOOKUP(I2,'Data Example'!H:Q,2,FALSE)</f>
        <v>0</v>
      </c>
      <c r="K2" t="b">
        <f>VLOOKUP(J2,'Data Example'!I:R,2,FALSE)</f>
        <v>0</v>
      </c>
      <c r="L2" t="str">
        <f>VLOOKUP(C2,DB!A:F,6,FALSE)</f>
        <v>RCA_HDMI</v>
      </c>
      <c r="M2" t="str">
        <f>VLOOKUP(C2,DB!A:E,5,FALSE)</f>
        <v>Install</v>
      </c>
      <c r="N2" t="str">
        <f>VLOOKUP(C2,DB!A:J,10,FALSE)</f>
        <v>HDMI_comp</v>
      </c>
      <c r="O2">
        <f>VLOOKUP(C2, DB!A:C,3,FALSE)</f>
        <v>2</v>
      </c>
      <c r="P2">
        <f>VLOOKUP(C2,DB!A:B,2,FALSE)</f>
        <v>3</v>
      </c>
    </row>
    <row r="4" spans="1:16" x14ac:dyDescent="0.25">
      <c r="A4" t="s">
        <v>122</v>
      </c>
      <c r="B4" t="b">
        <f>IF(M2="Install",FALSE,TRUE)</f>
        <v>0</v>
      </c>
    </row>
    <row r="6" spans="1:16" x14ac:dyDescent="0.25">
      <c r="A6">
        <v>0</v>
      </c>
      <c r="B6" s="40"/>
    </row>
    <row r="7" spans="1:16" x14ac:dyDescent="0.25">
      <c r="A7" t="s">
        <v>120</v>
      </c>
      <c r="B7" s="2" t="s">
        <v>56</v>
      </c>
      <c r="C7" s="2" t="s">
        <v>29</v>
      </c>
      <c r="D7" s="2" t="s">
        <v>31</v>
      </c>
      <c r="E7" s="2" t="s">
        <v>32</v>
      </c>
      <c r="F7" s="2" t="s">
        <v>26</v>
      </c>
      <c r="G7" s="2" t="s">
        <v>66</v>
      </c>
      <c r="H7" s="2" t="s">
        <v>67</v>
      </c>
      <c r="I7" s="2" t="s">
        <v>68</v>
      </c>
      <c r="J7" s="2" t="s">
        <v>64</v>
      </c>
      <c r="K7" s="2" t="s">
        <v>59</v>
      </c>
      <c r="L7" s="2" t="s">
        <v>60</v>
      </c>
      <c r="M7" s="2" t="s">
        <v>57</v>
      </c>
    </row>
    <row r="8" spans="1:16" x14ac:dyDescent="0.25">
      <c r="B8" t="s">
        <v>118</v>
      </c>
      <c r="C8">
        <v>3</v>
      </c>
      <c r="D8">
        <v>2</v>
      </c>
      <c r="E8">
        <v>2</v>
      </c>
      <c r="F8" t="s">
        <v>84</v>
      </c>
      <c r="G8" t="s">
        <v>124</v>
      </c>
      <c r="H8" t="s">
        <v>125</v>
      </c>
      <c r="I8" t="s">
        <v>62</v>
      </c>
      <c r="J8" t="s">
        <v>65</v>
      </c>
      <c r="K8" t="s">
        <v>88</v>
      </c>
      <c r="L8" t="s">
        <v>89</v>
      </c>
      <c r="M8" t="b">
        <v>1</v>
      </c>
    </row>
    <row r="9" spans="1:16" x14ac:dyDescent="0.25">
      <c r="B9" t="s">
        <v>99</v>
      </c>
      <c r="C9">
        <v>1</v>
      </c>
      <c r="D9" t="s">
        <v>30</v>
      </c>
      <c r="E9" t="s">
        <v>30</v>
      </c>
      <c r="F9" t="s">
        <v>85</v>
      </c>
      <c r="G9" t="s">
        <v>98</v>
      </c>
      <c r="H9" t="s">
        <v>30</v>
      </c>
      <c r="I9" t="s">
        <v>30</v>
      </c>
      <c r="J9" t="s">
        <v>65</v>
      </c>
      <c r="K9" t="s">
        <v>30</v>
      </c>
      <c r="L9" t="s">
        <v>30</v>
      </c>
      <c r="M9" t="b">
        <v>0</v>
      </c>
    </row>
    <row r="10" spans="1:16" x14ac:dyDescent="0.25">
      <c r="B10" t="s">
        <v>100</v>
      </c>
      <c r="C10">
        <v>1</v>
      </c>
      <c r="D10">
        <v>1</v>
      </c>
      <c r="E10" t="s">
        <v>30</v>
      </c>
      <c r="F10" t="s">
        <v>58</v>
      </c>
      <c r="G10" t="s">
        <v>79</v>
      </c>
      <c r="H10" t="s">
        <v>30</v>
      </c>
      <c r="I10" t="s">
        <v>30</v>
      </c>
      <c r="J10" t="s">
        <v>86</v>
      </c>
      <c r="K10" t="s">
        <v>86</v>
      </c>
      <c r="L10" t="s">
        <v>30</v>
      </c>
      <c r="M10" t="b">
        <v>0</v>
      </c>
    </row>
    <row r="11" spans="1:16" x14ac:dyDescent="0.25">
      <c r="B11" t="s">
        <v>102</v>
      </c>
      <c r="C11">
        <v>1</v>
      </c>
      <c r="D11">
        <v>1</v>
      </c>
      <c r="E11" t="s">
        <v>30</v>
      </c>
      <c r="F11" t="s">
        <v>58</v>
      </c>
      <c r="G11" t="s">
        <v>79</v>
      </c>
      <c r="H11" t="s">
        <v>30</v>
      </c>
      <c r="I11" t="s">
        <v>30</v>
      </c>
      <c r="J11" t="s">
        <v>86</v>
      </c>
      <c r="K11" t="s">
        <v>86</v>
      </c>
      <c r="L11" t="s">
        <v>30</v>
      </c>
      <c r="M11" t="b">
        <v>0</v>
      </c>
    </row>
    <row r="12" spans="1:16" x14ac:dyDescent="0.25">
      <c r="B12" t="s">
        <v>103</v>
      </c>
      <c r="C12" t="s">
        <v>30</v>
      </c>
      <c r="D12">
        <v>1</v>
      </c>
      <c r="E12" t="s">
        <v>30</v>
      </c>
      <c r="F12" t="s">
        <v>85</v>
      </c>
      <c r="G12" t="s">
        <v>30</v>
      </c>
      <c r="H12" t="s">
        <v>30</v>
      </c>
      <c r="I12" t="s">
        <v>30</v>
      </c>
      <c r="J12" t="s">
        <v>65</v>
      </c>
      <c r="K12" t="s">
        <v>86</v>
      </c>
      <c r="L12" t="s">
        <v>30</v>
      </c>
      <c r="M12" t="b">
        <v>0</v>
      </c>
    </row>
    <row r="13" spans="1:16" x14ac:dyDescent="0.25">
      <c r="B13" t="s">
        <v>105</v>
      </c>
      <c r="C13">
        <v>1</v>
      </c>
      <c r="D13" t="s">
        <v>30</v>
      </c>
      <c r="E13" t="s">
        <v>30</v>
      </c>
      <c r="F13" t="s">
        <v>58</v>
      </c>
      <c r="G13" t="s">
        <v>79</v>
      </c>
      <c r="H13" t="s">
        <v>30</v>
      </c>
      <c r="I13" t="s">
        <v>30</v>
      </c>
      <c r="J13" t="s">
        <v>86</v>
      </c>
      <c r="K13" t="s">
        <v>86</v>
      </c>
      <c r="L13" t="s">
        <v>30</v>
      </c>
      <c r="M13" t="b">
        <v>0</v>
      </c>
    </row>
    <row r="14" spans="1:16" x14ac:dyDescent="0.25">
      <c r="B14" t="s">
        <v>106</v>
      </c>
      <c r="C14">
        <v>1</v>
      </c>
      <c r="D14" t="s">
        <v>30</v>
      </c>
      <c r="E14" t="s">
        <v>30</v>
      </c>
      <c r="F14" t="s">
        <v>85</v>
      </c>
      <c r="G14" t="s">
        <v>79</v>
      </c>
      <c r="H14" t="s">
        <v>30</v>
      </c>
      <c r="I14" t="s">
        <v>30</v>
      </c>
      <c r="J14" t="s">
        <v>86</v>
      </c>
      <c r="K14" t="s">
        <v>86</v>
      </c>
      <c r="L14" t="s">
        <v>30</v>
      </c>
      <c r="M14" t="b">
        <v>0</v>
      </c>
    </row>
    <row r="15" spans="1:16" x14ac:dyDescent="0.25">
      <c r="B15" t="s">
        <v>107</v>
      </c>
      <c r="C15">
        <v>3</v>
      </c>
      <c r="D15">
        <v>2</v>
      </c>
      <c r="E15" t="s">
        <v>30</v>
      </c>
      <c r="F15" t="s">
        <v>58</v>
      </c>
      <c r="G15" t="s">
        <v>79</v>
      </c>
      <c r="H15" t="s">
        <v>79</v>
      </c>
      <c r="I15" t="s">
        <v>79</v>
      </c>
      <c r="J15" t="s">
        <v>95</v>
      </c>
      <c r="K15" t="s">
        <v>95</v>
      </c>
      <c r="L15" t="s">
        <v>95</v>
      </c>
      <c r="M15" t="b">
        <v>0</v>
      </c>
    </row>
    <row r="16" spans="1:16" x14ac:dyDescent="0.25">
      <c r="B16" t="s">
        <v>108</v>
      </c>
      <c r="C16">
        <v>3</v>
      </c>
      <c r="D16">
        <v>2</v>
      </c>
      <c r="E16" t="s">
        <v>30</v>
      </c>
      <c r="F16" t="s">
        <v>85</v>
      </c>
      <c r="G16" t="s">
        <v>79</v>
      </c>
      <c r="H16" t="s">
        <v>79</v>
      </c>
      <c r="I16" t="s">
        <v>79</v>
      </c>
      <c r="J16" t="s">
        <v>95</v>
      </c>
      <c r="K16" t="s">
        <v>95</v>
      </c>
      <c r="L16" t="s">
        <v>95</v>
      </c>
      <c r="M16" t="b">
        <v>0</v>
      </c>
    </row>
    <row r="17" spans="2:13" x14ac:dyDescent="0.25">
      <c r="B17" t="s">
        <v>127</v>
      </c>
      <c r="C17">
        <v>1</v>
      </c>
      <c r="D17">
        <v>1</v>
      </c>
      <c r="E17" t="s">
        <v>30</v>
      </c>
      <c r="F17" t="s">
        <v>58</v>
      </c>
      <c r="G17" t="s">
        <v>79</v>
      </c>
      <c r="H17" t="s">
        <v>30</v>
      </c>
      <c r="I17" t="s">
        <v>30</v>
      </c>
      <c r="J17" t="s">
        <v>86</v>
      </c>
      <c r="K17" t="s">
        <v>86</v>
      </c>
      <c r="L17" t="s">
        <v>30</v>
      </c>
      <c r="M17" t="b">
        <v>0</v>
      </c>
    </row>
    <row r="18" spans="2:13" x14ac:dyDescent="0.25">
      <c r="B18" t="s">
        <v>128</v>
      </c>
      <c r="C18">
        <v>1</v>
      </c>
      <c r="D18">
        <v>1</v>
      </c>
      <c r="E18" t="s">
        <v>30</v>
      </c>
      <c r="F18" t="s">
        <v>85</v>
      </c>
      <c r="G18" t="s">
        <v>79</v>
      </c>
      <c r="H18" t="s">
        <v>30</v>
      </c>
      <c r="I18" t="s">
        <v>30</v>
      </c>
      <c r="J18" t="s">
        <v>86</v>
      </c>
      <c r="K18" t="s">
        <v>86</v>
      </c>
      <c r="L18" t="s">
        <v>30</v>
      </c>
      <c r="M18" t="b">
        <v>0</v>
      </c>
    </row>
  </sheetData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_Builds">
                <anchor moveWithCells="1">
                  <from>
                    <xdr:col>0</xdr:col>
                    <xdr:colOff>857250</xdr:colOff>
                    <xdr:row>15</xdr:row>
                    <xdr:rowOff>76200</xdr:rowOff>
                  </from>
                  <to>
                    <xdr:col>1</xdr:col>
                    <xdr:colOff>76200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4B1C-3F48-45D1-A707-4B72DBD02302}">
  <sheetPr codeName="Sheet14"/>
  <dimension ref="A1"/>
  <sheetViews>
    <sheetView workbookViewId="0">
      <selection sqref="A1:L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8F8BBA-E659-42A5-8E39-6A7085B94A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Prototype &amp; Data</vt:lpstr>
      <vt:lpstr>Variables</vt:lpstr>
      <vt:lpstr>DB</vt:lpstr>
      <vt:lpstr>Data Example</vt:lpstr>
      <vt:lpstr>Current Systems</vt:lpstr>
      <vt:lpstr>Prototype</vt:lpstr>
      <vt:lpstr>output_sheet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Brennan</dc:creator>
  <cp:lastModifiedBy>Doug Brennan</cp:lastModifiedBy>
  <dcterms:created xsi:type="dcterms:W3CDTF">2019-05-01T06:36:57Z</dcterms:created>
  <dcterms:modified xsi:type="dcterms:W3CDTF">2019-06-25T05:14:09Z</dcterms:modified>
</cp:coreProperties>
</file>